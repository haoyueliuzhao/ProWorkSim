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Outputs" sheetId="2" state="visible" r:id="rId2"/>
    <sheet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t="inlineStr">
        <is>
          <t>Input (USD million / fraction)</t>
        </is>
      </c>
      <c r="B1" t="inlineStr">
        <is>
          <t>Value</t>
        </is>
      </c>
    </row>
    <row r="2">
      <c r="A2" t="inlineStr">
        <is>
          <t>revenue</t>
        </is>
      </c>
      <c r="B2" t="n">
        <v>1830</v>
      </c>
    </row>
    <row r="3">
      <c r="A3" t="inlineStr">
        <is>
          <t>operating_margin</t>
        </is>
      </c>
      <c r="B3" t="n">
        <v>0.17</v>
      </c>
    </row>
    <row r="4">
      <c r="A4" t="inlineStr">
        <is>
          <t>growth</t>
        </is>
      </c>
      <c r="B4" t="n">
        <v>0.09</v>
      </c>
    </row>
    <row r="5">
      <c r="A5" t="inlineStr">
        <is>
          <t>margin_delta</t>
        </is>
      </c>
      <c r="B5" t="n">
        <v>0.01</v>
      </c>
    </row>
    <row r="6">
      <c r="A6" t="inlineStr">
        <is>
          <t>tax_rate</t>
        </is>
      </c>
      <c r="B6" t="n">
        <v>0.25</v>
      </c>
    </row>
    <row r="7">
      <c r="A7" t="inlineStr">
        <is>
          <t>earnings_multiple</t>
        </is>
      </c>
      <c r="B7" t="n">
        <v>12</v>
      </c>
    </row>
    <row r="8">
      <c r="A8" t="inlineStr">
        <is>
          <t>net_debt</t>
        </is>
      </c>
      <c r="B8" t="n">
        <v>140</v>
      </c>
    </row>
    <row r="9">
      <c r="A9" t="inlineStr">
        <is>
          <t>shares</t>
        </is>
      </c>
      <c r="B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22" customWidth="1" min="2" max="2"/>
  </cols>
  <sheetData>
    <row r="2">
      <c r="A2" t="inlineStr">
        <is>
          <t>forecast_revenue</t>
        </is>
      </c>
      <c r="B2">
        <f>Inputs!B2*(1+Inputs!B4)</f>
        <v>1994.7</v>
      </c>
    </row>
    <row r="3">
      <c r="A3" t="inlineStr">
        <is>
          <t>operating_profit</t>
        </is>
      </c>
      <c r="B3">
        <f>B2*(Inputs!B3+Inputs!B5)</f>
        <v>359.04600000000005</v>
      </c>
    </row>
    <row r="4">
      <c r="A4" t="inlineStr">
        <is>
          <t>net_income</t>
        </is>
      </c>
      <c r="B4">
        <f>B3*(1-Inputs!B6)</f>
        <v>269.28450000000004</v>
      </c>
    </row>
    <row r="5">
      <c r="A5" t="inlineStr">
        <is>
          <t>equity_value</t>
        </is>
      </c>
      <c r="B5">
        <f>B4*Inputs!B7-Inputs!B8</f>
        <v>3091.4140000000007</v>
      </c>
    </row>
    <row r="6">
      <c r="A6" t="inlineStr">
        <is>
          <t>share_price</t>
        </is>
      </c>
      <c r="B6">
        <f>B5/Inputs!B9</f>
        <v>30.914140000000007</v>
      </c>
    </row>
    <row r="7">
      <c r="A7" t="inlineStr">
        <is>
          <t>model_eps</t>
        </is>
      </c>
      <c r="B7">
        <f>B4/Inputs!B9</f>
        <v>2.692845</v>
      </c>
    </row>
    <row r="8">
      <c r="A8" t="inlineStr">
        <is>
          <t>model_pe</t>
        </is>
      </c>
      <c r="B8">
        <f>B6/B7</f>
        <v>11.480103756436039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margin_delta \ growth</t>
        </is>
      </c>
      <c r="B1" t="n">
        <v>0.02</v>
      </c>
      <c r="C1" t="n">
        <v>0.08</v>
      </c>
    </row>
    <row r="2">
      <c r="A2" t="n">
        <v>0</v>
      </c>
      <c r="B2">
        <f>(Inputs!B2*(1+B$1)*(Inputs!B3+$A2)*(1-Inputs!B6)*Inputs!B7-Inputs!B8)/Inputs!B9</f>
        <v>27.15898</v>
      </c>
      <c r="C2">
        <f>(Inputs!B2*(1+C$1)*(Inputs!B3+$A2)*(1-Inputs!B6)*Inputs!B7-Inputs!B8)/Inputs!B9</f>
        <v>28.83892000000001</v>
      </c>
    </row>
    <row r="3">
      <c r="A3" t="n">
        <v>0.02</v>
      </c>
      <c r="B3">
        <f>(Inputs!B2*(1+B$1)*(Inputs!B3+$A3)*(1-Inputs!B6)*Inputs!B7-Inputs!B8)/Inputs!B9</f>
        <v>30.518860000000004</v>
      </c>
      <c r="C3">
        <f>(Inputs!B2*(1+C$1)*(Inputs!B3+$A3)*(1-Inputs!B6)*Inputs!B7-Inputs!B8)/Inputs!B9</f>
        <v>32.396440000000005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2026-09-22T00:46:15Z</dcterms:created>
  <dcterms:modified xsi:type="dcterms:W3CDTF">2026-09-22T00:46:54Z</dcterms:modified>
</cp:coreProperties>
</file>